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7050"/>
  </bookViews>
  <sheets>
    <sheet name="ExportData" sheetId="2" r:id="rId1"/>
  </sheets>
  <calcPr calcId="162913"/>
</workbook>
</file>

<file path=xl/calcChain.xml><?xml version="1.0" encoding="utf-8"?>
<calcChain xmlns="http://schemas.openxmlformats.org/spreadsheetml/2006/main">
  <c r="L59" i="2" l="1"/>
  <c r="M59" i="2"/>
  <c r="P59" i="2"/>
</calcChain>
</file>

<file path=xl/sharedStrings.xml><?xml version="1.0" encoding="utf-8"?>
<sst xmlns="http://schemas.openxmlformats.org/spreadsheetml/2006/main" count="248" uniqueCount="81">
  <si>
    <t>SKU</t>
  </si>
  <si>
    <t>Tên Hàng</t>
  </si>
  <si>
    <t>Mã NCC</t>
  </si>
  <si>
    <t>SL</t>
  </si>
  <si>
    <t>Status</t>
  </si>
  <si>
    <t>Dept.</t>
  </si>
  <si>
    <t>Sub Dept.</t>
  </si>
  <si>
    <t>Class</t>
  </si>
  <si>
    <t>Sub Class</t>
  </si>
  <si>
    <t>Mã 5NH</t>
  </si>
  <si>
    <t>ĐVB</t>
  </si>
  <si>
    <t>TT.Bán (VAT) đã giảm trừ</t>
  </si>
  <si>
    <t>TT.Vốn</t>
  </si>
  <si>
    <t>CKTM Có VAT</t>
  </si>
  <si>
    <t>TT.VAT</t>
  </si>
  <si>
    <t>TT.Bán</t>
  </si>
  <si>
    <t>CKTM Không VAT</t>
  </si>
  <si>
    <t>ExtDisVAT</t>
  </si>
  <si>
    <t>TL.Lãi</t>
  </si>
  <si>
    <t>Mã ST</t>
  </si>
  <si>
    <t>Keo DYNA bha nhanchoco45g/42g</t>
  </si>
  <si>
    <t>A</t>
  </si>
  <si>
    <t>EA</t>
  </si>
  <si>
    <t xml:space="preserve">160,110 </t>
  </si>
  <si>
    <t>Banh LEXUS k.choco hg150g</t>
  </si>
  <si>
    <t>Banh LEXUS kem pho mai150g</t>
  </si>
  <si>
    <t>B.quy CREAM-O kem soco 85g</t>
  </si>
  <si>
    <t>B.quy CREAM-O kem sua 85g</t>
  </si>
  <si>
    <t>$Tra xanh C2 hchanh 355ml</t>
  </si>
  <si>
    <t>$Tra xanh C2 tao pet 355ml</t>
  </si>
  <si>
    <t>K.DYNA Big.Bbha soco120g/112g</t>
  </si>
  <si>
    <t>B.quy soco CREAM-Okem vani 85g</t>
  </si>
  <si>
    <t>B.quy soco CREAM-O k.soco 85g</t>
  </si>
  <si>
    <t>$T.xanh C2 h.chanh pet455ml</t>
  </si>
  <si>
    <t>B.cracker MAGICbo dphong108g</t>
  </si>
  <si>
    <t>B.cracker MAGIC pho mai 108g</t>
  </si>
  <si>
    <t>KeoDYNAb.bangbha soco330g/308g</t>
  </si>
  <si>
    <t>B.CREAM-O k.dau s.chua 85g</t>
  </si>
  <si>
    <t>Keo DYNA.chew soco 125g/112.5g</t>
  </si>
  <si>
    <t>Keo DYNA.chew t.cay 125g</t>
  </si>
  <si>
    <t>$Ntluc RED DRAGONdau pet330ml</t>
  </si>
  <si>
    <t>B.crac.M.TWIN 2lop bo hg300g</t>
  </si>
  <si>
    <t>B.crac.M.TWIN2lop socohg300g</t>
  </si>
  <si>
    <t>K.DYN.Energy dau 330g/308g</t>
  </si>
  <si>
    <t>S-$Tr xanh C2 chanh 6x355ml</t>
  </si>
  <si>
    <t>I</t>
  </si>
  <si>
    <t>S-$Tra xanh C2 chanh24x355ml</t>
  </si>
  <si>
    <t>S-$T.xanhC2 hchanhpet24x455ml</t>
  </si>
  <si>
    <t>Keo Lush bo sua140g</t>
  </si>
  <si>
    <t>B.OAT KRU.daulychuaden hg156g</t>
  </si>
  <si>
    <t>B.OAT KRUNCH soco hg156g</t>
  </si>
  <si>
    <t>Keo DYNA.bhachoco hg100.8g-TET</t>
  </si>
  <si>
    <t>B.kemxopphusocok.vaniMAGIC240g</t>
  </si>
  <si>
    <t>B.kemxopphusocok.socoMAGIC240g</t>
  </si>
  <si>
    <t>$Tra den C2 huong dao 455ml</t>
  </si>
  <si>
    <t>S-$Tra den C2 h.dao24x455ml</t>
  </si>
  <si>
    <t>$Tra xanh C2vai thanhlai455ml</t>
  </si>
  <si>
    <t>S-$Tra denC2 huongvai24x455ml</t>
  </si>
  <si>
    <t>$TxanhC2Freechtuyet bha455ml</t>
  </si>
  <si>
    <t>$Tra denC2 Freehdau adao455ml</t>
  </si>
  <si>
    <t>$Tra den C2 dua luoi bha455ml</t>
  </si>
  <si>
    <t>KeoDYNA.h.xoai nhanmuoi ot96g</t>
  </si>
  <si>
    <t>KeoDYNA.oi hongnhanmuoi ot96g</t>
  </si>
  <si>
    <t>$Tra xanhC2 Oihong chday455ml</t>
  </si>
  <si>
    <t>KeoDYNA.chews nhan vai dao125g</t>
  </si>
  <si>
    <t>B.quy soco CREAM-Okem vani125g</t>
  </si>
  <si>
    <t>B.quyCREAM-Okem huongvaidao85g</t>
  </si>
  <si>
    <t>B.OAT KRUy.mach socovquat192g</t>
  </si>
  <si>
    <t>B.OATKRUy.mach socoh.nhan192g</t>
  </si>
  <si>
    <t>C-Snack dui gaBuf.CHIKKI ga65g</t>
  </si>
  <si>
    <t>C-Snack d.gagionCHIKKI gaHQ65g</t>
  </si>
  <si>
    <t>Snack vi caramen Puff corn 68g</t>
  </si>
  <si>
    <t>K.DYNA h.chanh nhan botsoda96g</t>
  </si>
  <si>
    <t>K.DYNA h.nho nhan bot soda 96g</t>
  </si>
  <si>
    <t>Tra xanh C2 thanh khiet 455ml</t>
  </si>
  <si>
    <t>B.quyCREAM-O honhop3vi goi120g</t>
  </si>
  <si>
    <t>B.quy CREAM-O honhop7vi hg280g</t>
  </si>
  <si>
    <t>KeoDYNA.chew cara.h.bap 112.5g</t>
  </si>
  <si>
    <t>C-Snack dui gaCHIK.pmaiChed65g</t>
  </si>
  <si>
    <t>C-Snack pmai botoiPuff corn68g</t>
  </si>
  <si>
    <t>$Ntluc RONGDO vai anhdao330ml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</si>
</sst>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5" formatCode="_(* #,##0_);_(* \(#,##0\);_(* &quot;-&quot;??_);_(@_)"/>
    <numFmt numFmtId="167" formatCode="0.0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43" fontId="1" fillId="0" borderId="0" applyFont="0" applyFill="0" applyBorder="0" applyAlignment="0" applyProtection="0"/>
  </cellStyleXfs>
  <cellXfs count="5">
    <xf numFmtId="0" fontId="0" fillId="0" borderId="0" xfId="0" applyNumberFormat="1" applyFill="1" applyAlignment="1" applyProtection="1"/>
    <xf numFmtId="165" fontId="0" fillId="0" borderId="0" xfId="1" applyNumberFormat="1" applyFont="1" applyFill="1" applyAlignment="1" applyProtection="1"/>
    <xf numFmtId="167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165" fontId="0" fillId="0" borderId="0" xfId="1" applyNumberFormat="1" applyFont="1" applyFill="1" applyAlignment="1" applyProtection="1">
      <alignment horizontal="center"/>
    </xf>
  </cellXfs>
  <cellStyles count="2">
    <cellStyle name="Comma" xfId="1" builtinId="3"/>
    <cellStyle name="Normal" xfId="0" builtinId="0"/>
  </cellStyles>
  <dxfs count="11">
    <dxf>
      <numFmt numFmtId="167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59" totalsRowCount="1">
  <autoFilter ref="A1:T59"/>
  <sortState ref="A2:T58">
    <sortCondition descending="1" ref="P1:P59"/>
  </sortState>
  <tableColumns count="20">
    <tableColumn id="1" name="SKU"/>
    <tableColumn id="2" name="Tên Hàng"/>
    <tableColumn id="3" name="Mã NCC"/>
    <tableColumn id="4" name="SL"/>
    <tableColumn id="5" name="Status"/>
    <tableColumn id="6" name="Dept."/>
    <tableColumn id="7" name="Sub Dept."/>
    <tableColumn id="8" name="Class"/>
    <tableColumn id="9" name="Sub Class"/>
    <tableColumn id="10" name="Mã 5NH"/>
    <tableColumn id="11" name="ĐVB"/>
    <tableColumn id="12" name="TT.Bán (VAT) đã giảm trừ" totalsRowFunction="custom" dataDxfId="10" totalsRowDxfId="5" dataCellStyle="Comma">
      <totalsRowFormula>SUBTOTAL(109,L2:L58)</totalsRowFormula>
    </tableColumn>
    <tableColumn id="13" name="TT.Vốn" totalsRowFunction="custom" dataDxfId="9" totalsRowDxfId="4" dataCellStyle="Comma">
      <totalsRowFormula>SUBTOTAL(109,M2:M58)</totalsRowFormula>
    </tableColumn>
    <tableColumn id="14" name="CKTM Có VAT" dataDxfId="8" totalsRowDxfId="3" dataCellStyle="Comma"/>
    <tableColumn id="15" name="TT.VAT" dataDxfId="7" totalsRowDxfId="2" dataCellStyle="Comma"/>
    <tableColumn id="16" name="TT.Bán" totalsRowFunction="sum" dataDxfId="6" totalsRowDxfId="1" dataCellStyle="Comma"/>
    <tableColumn id="17" name="CKTM Không VAT"/>
    <tableColumn id="18" name="ExtDisVAT"/>
    <tableColumn id="19" name="TL.Lãi" dataDxfId="0"/>
    <tableColumn id="20" name="Mã S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Views>
    <sheetView tabSelected="1" workbookViewId="0">
      <selection activeCell="V11" sqref="V11"/>
    </sheetView>
  </sheetViews>
  <sheetFormatPr defaultRowHeight="14.5" x14ac:dyDescent="0.35"/>
  <cols>
    <col min="1" max="1" width="9.26953125" customWidth="1"/>
    <col min="2" max="2" width="32.54296875" customWidth="1"/>
    <col min="3" max="3" width="8.7265625" hidden="1" customWidth="1"/>
    <col min="4" max="4" width="7.7265625" customWidth="1"/>
    <col min="5" max="5" width="7.08984375" hidden="1" customWidth="1"/>
    <col min="6" max="6" width="6.453125" hidden="1" customWidth="1"/>
    <col min="7" max="7" width="10.1796875" hidden="1" customWidth="1"/>
    <col min="8" max="8" width="6.08984375" hidden="1" customWidth="1"/>
    <col min="9" max="9" width="9.7265625" hidden="1" customWidth="1"/>
    <col min="10" max="10" width="8.81640625" hidden="1" customWidth="1"/>
    <col min="11" max="11" width="5.453125" customWidth="1"/>
    <col min="12" max="12" width="23.26953125" style="1" customWidth="1"/>
    <col min="13" max="13" width="14" style="1" customWidth="1"/>
    <col min="14" max="14" width="13.453125" style="1" hidden="1" customWidth="1"/>
    <col min="15" max="15" width="11.90625" style="1" hidden="1" customWidth="1"/>
    <col min="16" max="16" width="13" style="1" customWidth="1"/>
    <col min="17" max="17" width="16.6328125" hidden="1" customWidth="1"/>
    <col min="18" max="18" width="10.453125" hidden="1" customWidth="1"/>
    <col min="19" max="19" width="8.7265625" customWidth="1"/>
    <col min="20" max="20" width="8.7265625" hidden="1" customWidth="1"/>
  </cols>
  <sheetData>
    <row r="1" spans="1:2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t="s">
        <v>19</v>
      </c>
    </row>
    <row r="2" spans="1:20" x14ac:dyDescent="0.35">
      <c r="A2">
        <v>3391230</v>
      </c>
      <c r="B2" t="s">
        <v>50</v>
      </c>
      <c r="C2">
        <v>14333</v>
      </c>
      <c r="D2">
        <v>244</v>
      </c>
      <c r="E2" t="s">
        <v>21</v>
      </c>
      <c r="F2">
        <v>116</v>
      </c>
      <c r="G2">
        <v>1</v>
      </c>
      <c r="H2">
        <v>30</v>
      </c>
      <c r="I2">
        <v>1</v>
      </c>
      <c r="J2">
        <v>2</v>
      </c>
      <c r="K2" t="s">
        <v>22</v>
      </c>
      <c r="L2" s="1">
        <v>3809884.875</v>
      </c>
      <c r="M2" s="1">
        <v>3222931.0164000001</v>
      </c>
      <c r="N2" s="1">
        <v>-94115.125</v>
      </c>
      <c r="O2" s="1">
        <v>282213.67599999998</v>
      </c>
      <c r="P2" s="1">
        <v>3614814.8339999998</v>
      </c>
      <c r="Q2">
        <v>-87143.634999999995</v>
      </c>
      <c r="R2">
        <v>-6969</v>
      </c>
      <c r="S2" s="2">
        <v>10.841100000000001</v>
      </c>
      <c r="T2" t="s">
        <v>23</v>
      </c>
    </row>
    <row r="3" spans="1:20" x14ac:dyDescent="0.35">
      <c r="A3">
        <v>3602293</v>
      </c>
      <c r="B3" t="s">
        <v>68</v>
      </c>
      <c r="C3">
        <v>14333</v>
      </c>
      <c r="D3">
        <v>178</v>
      </c>
      <c r="E3" t="s">
        <v>21</v>
      </c>
      <c r="F3">
        <v>116</v>
      </c>
      <c r="G3">
        <v>1</v>
      </c>
      <c r="H3">
        <v>30</v>
      </c>
      <c r="I3">
        <v>1</v>
      </c>
      <c r="J3">
        <v>2</v>
      </c>
      <c r="K3" t="s">
        <v>22</v>
      </c>
      <c r="L3" s="1">
        <v>3576899.2990000001</v>
      </c>
      <c r="M3" s="1">
        <v>3120495.3398000002</v>
      </c>
      <c r="N3" s="1">
        <v>-107700.701</v>
      </c>
      <c r="O3" s="1">
        <v>264955.489</v>
      </c>
      <c r="P3" s="1">
        <v>3411666.682</v>
      </c>
      <c r="Q3">
        <v>-99722.872000000003</v>
      </c>
      <c r="R3">
        <v>-7929</v>
      </c>
      <c r="S3" s="2">
        <v>8.5345999999999993</v>
      </c>
      <c r="T3" t="s">
        <v>23</v>
      </c>
    </row>
    <row r="4" spans="1:20" x14ac:dyDescent="0.35">
      <c r="A4">
        <v>3391229</v>
      </c>
      <c r="B4" t="s">
        <v>49</v>
      </c>
      <c r="C4">
        <v>14333</v>
      </c>
      <c r="D4">
        <v>188</v>
      </c>
      <c r="E4" t="s">
        <v>21</v>
      </c>
      <c r="F4">
        <v>116</v>
      </c>
      <c r="G4">
        <v>1</v>
      </c>
      <c r="H4">
        <v>30</v>
      </c>
      <c r="I4">
        <v>1</v>
      </c>
      <c r="J4">
        <v>2</v>
      </c>
      <c r="K4" t="s">
        <v>22</v>
      </c>
      <c r="L4" s="1">
        <v>2943783.8330000001</v>
      </c>
      <c r="M4" s="1">
        <v>2422609.8111999999</v>
      </c>
      <c r="N4" s="1">
        <v>-64216.167000000001</v>
      </c>
      <c r="O4" s="1">
        <v>218058.05300000001</v>
      </c>
      <c r="P4" s="1">
        <v>2785185.1940000001</v>
      </c>
      <c r="Q4">
        <v>-59459.413999999997</v>
      </c>
      <c r="R4">
        <v>-4755</v>
      </c>
      <c r="S4" s="2">
        <v>13.018000000000001</v>
      </c>
      <c r="T4" t="s">
        <v>23</v>
      </c>
    </row>
    <row r="5" spans="1:20" x14ac:dyDescent="0.35">
      <c r="A5">
        <v>3602292</v>
      </c>
      <c r="B5" t="s">
        <v>67</v>
      </c>
      <c r="C5">
        <v>14333</v>
      </c>
      <c r="D5">
        <v>144</v>
      </c>
      <c r="E5" t="s">
        <v>21</v>
      </c>
      <c r="F5">
        <v>116</v>
      </c>
      <c r="G5">
        <v>1</v>
      </c>
      <c r="H5">
        <v>30</v>
      </c>
      <c r="I5">
        <v>1</v>
      </c>
      <c r="J5">
        <v>2</v>
      </c>
      <c r="K5" t="s">
        <v>22</v>
      </c>
      <c r="L5" s="1">
        <v>2904812.7459999998</v>
      </c>
      <c r="M5" s="1">
        <v>2524416.0048000002</v>
      </c>
      <c r="N5" s="1">
        <v>-75987.254000000001</v>
      </c>
      <c r="O5" s="1">
        <v>215171.30300000001</v>
      </c>
      <c r="P5" s="1">
        <v>2760000.0129999998</v>
      </c>
      <c r="Q5">
        <v>-70358.570000000007</v>
      </c>
      <c r="R5">
        <v>-5580</v>
      </c>
      <c r="S5" s="2">
        <v>8.5357000000000003</v>
      </c>
      <c r="T5" t="s">
        <v>23</v>
      </c>
    </row>
    <row r="6" spans="1:20" x14ac:dyDescent="0.35">
      <c r="A6">
        <v>3114053</v>
      </c>
      <c r="B6" t="s">
        <v>25</v>
      </c>
      <c r="C6">
        <v>14333</v>
      </c>
      <c r="D6">
        <v>183</v>
      </c>
      <c r="E6" t="s">
        <v>21</v>
      </c>
      <c r="F6">
        <v>116</v>
      </c>
      <c r="G6">
        <v>1</v>
      </c>
      <c r="H6">
        <v>25</v>
      </c>
      <c r="I6">
        <v>1</v>
      </c>
      <c r="J6">
        <v>2</v>
      </c>
      <c r="K6" t="s">
        <v>22</v>
      </c>
      <c r="L6" s="1">
        <v>2756009.602</v>
      </c>
      <c r="M6" s="1">
        <v>2392722.5654000002</v>
      </c>
      <c r="N6" s="1">
        <v>-171990.39799999999</v>
      </c>
      <c r="O6" s="1">
        <v>204148.79800000001</v>
      </c>
      <c r="P6" s="1">
        <v>2711111.1719999998</v>
      </c>
      <c r="Q6">
        <v>-159250.36799999999</v>
      </c>
      <c r="R6">
        <v>-12737</v>
      </c>
      <c r="S6" s="2">
        <v>11.7439</v>
      </c>
      <c r="T6" t="s">
        <v>23</v>
      </c>
    </row>
    <row r="7" spans="1:20" x14ac:dyDescent="0.35">
      <c r="A7">
        <v>3114052</v>
      </c>
      <c r="B7" t="s">
        <v>24</v>
      </c>
      <c r="C7">
        <v>14333</v>
      </c>
      <c r="D7">
        <v>176</v>
      </c>
      <c r="E7" t="s">
        <v>21</v>
      </c>
      <c r="F7">
        <v>116</v>
      </c>
      <c r="G7">
        <v>1</v>
      </c>
      <c r="H7">
        <v>25</v>
      </c>
      <c r="I7">
        <v>1</v>
      </c>
      <c r="J7">
        <v>2</v>
      </c>
      <c r="K7" t="s">
        <v>22</v>
      </c>
      <c r="L7" s="1">
        <v>2782289.4330000002</v>
      </c>
      <c r="M7" s="1">
        <v>2316181.2659</v>
      </c>
      <c r="N7" s="1">
        <v>-33710.567000000003</v>
      </c>
      <c r="O7" s="1">
        <v>206095.50700000001</v>
      </c>
      <c r="P7" s="1">
        <v>2607407.415</v>
      </c>
      <c r="Q7">
        <v>-31213.489000000001</v>
      </c>
      <c r="R7">
        <v>-2496</v>
      </c>
      <c r="S7" s="2">
        <v>11.1692</v>
      </c>
      <c r="T7" t="s">
        <v>23</v>
      </c>
    </row>
    <row r="8" spans="1:20" x14ac:dyDescent="0.35">
      <c r="A8">
        <v>3317715</v>
      </c>
      <c r="B8" t="s">
        <v>47</v>
      </c>
      <c r="C8">
        <v>14333</v>
      </c>
      <c r="D8">
        <v>13</v>
      </c>
      <c r="E8" t="s">
        <v>45</v>
      </c>
      <c r="F8">
        <v>117</v>
      </c>
      <c r="G8">
        <v>30</v>
      </c>
      <c r="H8">
        <v>10</v>
      </c>
      <c r="I8">
        <v>1</v>
      </c>
      <c r="J8">
        <v>2</v>
      </c>
      <c r="K8" t="s">
        <v>22</v>
      </c>
      <c r="L8" s="1">
        <v>2691000</v>
      </c>
      <c r="M8" s="1">
        <v>2319325.5792</v>
      </c>
      <c r="N8" s="1">
        <v>0</v>
      </c>
      <c r="O8" s="1">
        <v>244636.364</v>
      </c>
      <c r="P8" s="1">
        <v>2446363.6359999999</v>
      </c>
      <c r="Q8">
        <v>0</v>
      </c>
      <c r="R8">
        <v>0</v>
      </c>
      <c r="S8" s="2">
        <v>5.1929999999999996</v>
      </c>
      <c r="T8" t="s">
        <v>23</v>
      </c>
    </row>
    <row r="9" spans="1:20" x14ac:dyDescent="0.35">
      <c r="A9">
        <v>3301036</v>
      </c>
      <c r="B9" t="s">
        <v>42</v>
      </c>
      <c r="C9">
        <v>14333</v>
      </c>
      <c r="D9">
        <v>75</v>
      </c>
      <c r="E9" t="s">
        <v>21</v>
      </c>
      <c r="F9">
        <v>116</v>
      </c>
      <c r="G9">
        <v>1</v>
      </c>
      <c r="H9">
        <v>50</v>
      </c>
      <c r="I9">
        <v>1</v>
      </c>
      <c r="J9">
        <v>2</v>
      </c>
      <c r="K9" t="s">
        <v>22</v>
      </c>
      <c r="L9" s="1">
        <v>2042737.713</v>
      </c>
      <c r="M9" s="1">
        <v>1596669.8245000001</v>
      </c>
      <c r="N9" s="1">
        <v>-19762.287</v>
      </c>
      <c r="O9" s="1">
        <v>151313.9</v>
      </c>
      <c r="P9" s="1">
        <v>1909722.227</v>
      </c>
      <c r="Q9">
        <v>-18298.414000000001</v>
      </c>
      <c r="R9">
        <v>-1462</v>
      </c>
      <c r="S9" s="2">
        <v>16.392600000000002</v>
      </c>
      <c r="T9" t="s">
        <v>23</v>
      </c>
    </row>
    <row r="10" spans="1:20" x14ac:dyDescent="0.35">
      <c r="A10">
        <v>3188410</v>
      </c>
      <c r="B10" t="s">
        <v>36</v>
      </c>
      <c r="C10">
        <v>14333</v>
      </c>
      <c r="D10">
        <v>75</v>
      </c>
      <c r="E10" t="s">
        <v>21</v>
      </c>
      <c r="F10">
        <v>116</v>
      </c>
      <c r="G10">
        <v>5</v>
      </c>
      <c r="H10">
        <v>1</v>
      </c>
      <c r="I10">
        <v>1</v>
      </c>
      <c r="J10">
        <v>2</v>
      </c>
      <c r="K10" t="s">
        <v>22</v>
      </c>
      <c r="L10" s="1">
        <v>2004792.3289999999</v>
      </c>
      <c r="M10" s="1">
        <v>1568685.5219000001</v>
      </c>
      <c r="N10" s="1">
        <v>-20207.670999999998</v>
      </c>
      <c r="O10" s="1">
        <v>148503.136</v>
      </c>
      <c r="P10" s="1">
        <v>1875000</v>
      </c>
      <c r="Q10">
        <v>-18710.807000000001</v>
      </c>
      <c r="R10">
        <v>-1184</v>
      </c>
      <c r="S10" s="2">
        <v>16.3368</v>
      </c>
      <c r="T10" t="s">
        <v>23</v>
      </c>
    </row>
    <row r="11" spans="1:20" x14ac:dyDescent="0.35">
      <c r="A11">
        <v>3301035</v>
      </c>
      <c r="B11" t="s">
        <v>41</v>
      </c>
      <c r="C11">
        <v>14333</v>
      </c>
      <c r="D11">
        <v>72</v>
      </c>
      <c r="E11" t="s">
        <v>21</v>
      </c>
      <c r="F11">
        <v>116</v>
      </c>
      <c r="G11">
        <v>1</v>
      </c>
      <c r="H11">
        <v>50</v>
      </c>
      <c r="I11">
        <v>1</v>
      </c>
      <c r="J11">
        <v>2</v>
      </c>
      <c r="K11" t="s">
        <v>22</v>
      </c>
      <c r="L11" s="1">
        <v>1925256.69</v>
      </c>
      <c r="M11" s="1">
        <v>1530204.5448</v>
      </c>
      <c r="N11" s="1">
        <v>-54743.31</v>
      </c>
      <c r="O11" s="1">
        <v>142611.60399999999</v>
      </c>
      <c r="P11" s="1">
        <v>1833333.3370000001</v>
      </c>
      <c r="Q11">
        <v>-50688.250999999997</v>
      </c>
      <c r="R11">
        <v>-4052</v>
      </c>
      <c r="S11" s="2">
        <v>16.534300000000002</v>
      </c>
      <c r="T11" t="s">
        <v>23</v>
      </c>
    </row>
    <row r="12" spans="1:20" x14ac:dyDescent="0.35">
      <c r="A12">
        <v>3447551</v>
      </c>
      <c r="B12" t="s">
        <v>54</v>
      </c>
      <c r="C12">
        <v>14333</v>
      </c>
      <c r="D12">
        <v>214</v>
      </c>
      <c r="E12" t="s">
        <v>21</v>
      </c>
      <c r="F12">
        <v>117</v>
      </c>
      <c r="G12">
        <v>30</v>
      </c>
      <c r="H12">
        <v>10</v>
      </c>
      <c r="I12">
        <v>1</v>
      </c>
      <c r="J12">
        <v>2</v>
      </c>
      <c r="K12" t="s">
        <v>22</v>
      </c>
      <c r="L12" s="1">
        <v>1669200</v>
      </c>
      <c r="M12" s="1">
        <v>1344910.2941000001</v>
      </c>
      <c r="N12" s="1">
        <v>0</v>
      </c>
      <c r="O12" s="1">
        <v>151745.45199999999</v>
      </c>
      <c r="P12" s="1">
        <v>1517454.548</v>
      </c>
      <c r="Q12">
        <v>0</v>
      </c>
      <c r="R12">
        <v>0</v>
      </c>
      <c r="S12" s="2">
        <v>11.370699999999999</v>
      </c>
      <c r="T12" t="s">
        <v>23</v>
      </c>
    </row>
    <row r="13" spans="1:20" x14ac:dyDescent="0.35">
      <c r="A13">
        <v>3169895</v>
      </c>
      <c r="B13" t="s">
        <v>33</v>
      </c>
      <c r="C13">
        <v>14333</v>
      </c>
      <c r="D13">
        <v>147</v>
      </c>
      <c r="E13" t="s">
        <v>21</v>
      </c>
      <c r="F13">
        <v>117</v>
      </c>
      <c r="G13">
        <v>30</v>
      </c>
      <c r="H13">
        <v>10</v>
      </c>
      <c r="I13">
        <v>1</v>
      </c>
      <c r="J13">
        <v>2</v>
      </c>
      <c r="K13" t="s">
        <v>22</v>
      </c>
      <c r="L13" s="1">
        <v>1313630.287</v>
      </c>
      <c r="M13" s="1">
        <v>1091815.0674000001</v>
      </c>
      <c r="N13" s="1">
        <v>-9369.7129999999997</v>
      </c>
      <c r="O13" s="1">
        <v>119420.943</v>
      </c>
      <c r="P13" s="1">
        <v>1202727.2649999999</v>
      </c>
      <c r="Q13">
        <v>-8517.9210000000003</v>
      </c>
      <c r="R13">
        <v>-851</v>
      </c>
      <c r="S13" s="2">
        <v>9.2218</v>
      </c>
      <c r="T13" t="s">
        <v>23</v>
      </c>
    </row>
    <row r="14" spans="1:20" x14ac:dyDescent="0.35">
      <c r="A14">
        <v>3285250</v>
      </c>
      <c r="B14" t="s">
        <v>38</v>
      </c>
      <c r="C14">
        <v>14333</v>
      </c>
      <c r="D14">
        <v>80</v>
      </c>
      <c r="E14" t="s">
        <v>21</v>
      </c>
      <c r="F14">
        <v>116</v>
      </c>
      <c r="G14">
        <v>5</v>
      </c>
      <c r="H14">
        <v>1</v>
      </c>
      <c r="I14">
        <v>5</v>
      </c>
      <c r="J14">
        <v>2</v>
      </c>
      <c r="K14" t="s">
        <v>22</v>
      </c>
      <c r="L14" s="1">
        <v>1245468.956</v>
      </c>
      <c r="M14" s="1">
        <v>919644.72210000001</v>
      </c>
      <c r="N14" s="1">
        <v>-26531.044000000002</v>
      </c>
      <c r="O14" s="1">
        <v>92256.972999999998</v>
      </c>
      <c r="P14" s="1">
        <v>1177777.7649999999</v>
      </c>
      <c r="Q14">
        <v>-24565.781999999999</v>
      </c>
      <c r="R14">
        <v>-1562</v>
      </c>
      <c r="S14" s="2">
        <v>21.917000000000002</v>
      </c>
      <c r="T14" t="s">
        <v>23</v>
      </c>
    </row>
    <row r="15" spans="1:20" x14ac:dyDescent="0.35">
      <c r="A15">
        <v>3607958</v>
      </c>
      <c r="B15" t="s">
        <v>78</v>
      </c>
      <c r="C15">
        <v>14333</v>
      </c>
      <c r="D15">
        <v>165</v>
      </c>
      <c r="E15" t="s">
        <v>45</v>
      </c>
      <c r="F15">
        <v>111</v>
      </c>
      <c r="G15">
        <v>25</v>
      </c>
      <c r="H15">
        <v>40</v>
      </c>
      <c r="I15">
        <v>1</v>
      </c>
      <c r="J15">
        <v>2</v>
      </c>
      <c r="K15" t="s">
        <v>22</v>
      </c>
      <c r="L15" s="1">
        <v>1256497.6610000001</v>
      </c>
      <c r="M15" s="1">
        <v>936418.26919999998</v>
      </c>
      <c r="N15" s="1">
        <v>-3202.3389999999999</v>
      </c>
      <c r="O15" s="1">
        <v>93073.896999999997</v>
      </c>
      <c r="P15" s="1">
        <v>1166388.8929999999</v>
      </c>
      <c r="Q15">
        <v>-2965.1289999999999</v>
      </c>
      <c r="R15">
        <v>-236</v>
      </c>
      <c r="S15" s="2">
        <v>19.7165</v>
      </c>
      <c r="T15" t="s">
        <v>23</v>
      </c>
    </row>
    <row r="16" spans="1:20" x14ac:dyDescent="0.35">
      <c r="A16">
        <v>3604078</v>
      </c>
      <c r="B16" t="s">
        <v>69</v>
      </c>
      <c r="C16">
        <v>14333</v>
      </c>
      <c r="D16">
        <v>162</v>
      </c>
      <c r="E16" t="s">
        <v>45</v>
      </c>
      <c r="F16">
        <v>111</v>
      </c>
      <c r="G16">
        <v>25</v>
      </c>
      <c r="H16">
        <v>40</v>
      </c>
      <c r="I16">
        <v>1</v>
      </c>
      <c r="J16">
        <v>2</v>
      </c>
      <c r="K16" t="s">
        <v>22</v>
      </c>
      <c r="L16" s="1">
        <v>1245336.818</v>
      </c>
      <c r="M16" s="1">
        <v>933384.05209999997</v>
      </c>
      <c r="N16" s="1">
        <v>-8563.1820000000007</v>
      </c>
      <c r="O16" s="1">
        <v>92247.172000000006</v>
      </c>
      <c r="P16" s="1">
        <v>1161018.5190000001</v>
      </c>
      <c r="Q16">
        <v>-7928.8729999999996</v>
      </c>
      <c r="R16">
        <v>-633</v>
      </c>
      <c r="S16" s="2">
        <v>19.6065</v>
      </c>
      <c r="T16" t="s">
        <v>23</v>
      </c>
    </row>
    <row r="17" spans="1:20" x14ac:dyDescent="0.35">
      <c r="A17">
        <v>3447552</v>
      </c>
      <c r="B17" t="s">
        <v>55</v>
      </c>
      <c r="C17">
        <v>14333</v>
      </c>
      <c r="D17">
        <v>7</v>
      </c>
      <c r="E17" t="s">
        <v>45</v>
      </c>
      <c r="F17">
        <v>117</v>
      </c>
      <c r="G17">
        <v>30</v>
      </c>
      <c r="H17">
        <v>10</v>
      </c>
      <c r="I17">
        <v>1</v>
      </c>
      <c r="J17">
        <v>2</v>
      </c>
      <c r="K17" t="s">
        <v>22</v>
      </c>
      <c r="L17" s="1">
        <v>1253000</v>
      </c>
      <c r="M17" s="1">
        <v>1053256.5863999999</v>
      </c>
      <c r="N17" s="1">
        <v>0</v>
      </c>
      <c r="O17" s="1">
        <v>113909.091</v>
      </c>
      <c r="P17" s="1">
        <v>1139090.909</v>
      </c>
      <c r="Q17">
        <v>0</v>
      </c>
      <c r="R17">
        <v>0</v>
      </c>
      <c r="S17" s="2">
        <v>7.5354000000000001</v>
      </c>
      <c r="T17" t="s">
        <v>23</v>
      </c>
    </row>
    <row r="18" spans="1:20" x14ac:dyDescent="0.35">
      <c r="A18">
        <v>3607959</v>
      </c>
      <c r="B18" t="s">
        <v>79</v>
      </c>
      <c r="C18">
        <v>14333</v>
      </c>
      <c r="D18">
        <v>158</v>
      </c>
      <c r="E18" t="s">
        <v>45</v>
      </c>
      <c r="F18">
        <v>111</v>
      </c>
      <c r="G18">
        <v>25</v>
      </c>
      <c r="H18">
        <v>40</v>
      </c>
      <c r="I18">
        <v>1</v>
      </c>
      <c r="J18">
        <v>2</v>
      </c>
      <c r="K18" t="s">
        <v>22</v>
      </c>
      <c r="L18" s="1">
        <v>1192254.169</v>
      </c>
      <c r="M18" s="1">
        <v>893067.96620000002</v>
      </c>
      <c r="N18" s="1">
        <v>-27845.830999999998</v>
      </c>
      <c r="O18" s="1">
        <v>88315.123000000007</v>
      </c>
      <c r="P18" s="1">
        <v>1129722.2239999999</v>
      </c>
      <c r="Q18">
        <v>-25783.178</v>
      </c>
      <c r="R18">
        <v>-2061</v>
      </c>
      <c r="S18" s="2">
        <v>20.9481</v>
      </c>
      <c r="T18" t="s">
        <v>23</v>
      </c>
    </row>
    <row r="19" spans="1:20" x14ac:dyDescent="0.35">
      <c r="A19">
        <v>3497535</v>
      </c>
      <c r="B19" t="s">
        <v>56</v>
      </c>
      <c r="C19">
        <v>14333</v>
      </c>
      <c r="D19">
        <v>159</v>
      </c>
      <c r="E19" t="s">
        <v>21</v>
      </c>
      <c r="F19">
        <v>117</v>
      </c>
      <c r="G19">
        <v>30</v>
      </c>
      <c r="H19">
        <v>10</v>
      </c>
      <c r="I19">
        <v>1</v>
      </c>
      <c r="J19">
        <v>2</v>
      </c>
      <c r="K19" t="s">
        <v>22</v>
      </c>
      <c r="L19" s="1">
        <v>1240200</v>
      </c>
      <c r="M19" s="1">
        <v>1032606.2503</v>
      </c>
      <c r="N19" s="1">
        <v>0</v>
      </c>
      <c r="O19" s="1">
        <v>112745.455</v>
      </c>
      <c r="P19" s="1">
        <v>1127454.5449999999</v>
      </c>
      <c r="Q19">
        <v>0</v>
      </c>
      <c r="R19">
        <v>0</v>
      </c>
      <c r="S19" s="2">
        <v>8.4126999999999992</v>
      </c>
      <c r="T19" t="s">
        <v>23</v>
      </c>
    </row>
    <row r="20" spans="1:20" x14ac:dyDescent="0.35">
      <c r="A20">
        <v>3301450</v>
      </c>
      <c r="B20" t="s">
        <v>43</v>
      </c>
      <c r="C20">
        <v>14333</v>
      </c>
      <c r="D20">
        <v>35</v>
      </c>
      <c r="E20" t="s">
        <v>21</v>
      </c>
      <c r="F20">
        <v>116</v>
      </c>
      <c r="G20">
        <v>5</v>
      </c>
      <c r="H20">
        <v>1</v>
      </c>
      <c r="I20">
        <v>1</v>
      </c>
      <c r="J20">
        <v>2</v>
      </c>
      <c r="K20" t="s">
        <v>22</v>
      </c>
      <c r="L20" s="1">
        <v>945000</v>
      </c>
      <c r="M20" s="1">
        <v>694992.34140000003</v>
      </c>
      <c r="N20" s="1">
        <v>0</v>
      </c>
      <c r="O20" s="1">
        <v>70000</v>
      </c>
      <c r="P20" s="1">
        <v>875000</v>
      </c>
      <c r="Q20">
        <v>0</v>
      </c>
      <c r="R20">
        <v>0</v>
      </c>
      <c r="S20" s="2">
        <v>20.572399999999998</v>
      </c>
      <c r="T20" t="s">
        <v>23</v>
      </c>
    </row>
    <row r="21" spans="1:20" x14ac:dyDescent="0.35">
      <c r="A21">
        <v>3177618</v>
      </c>
      <c r="B21" t="s">
        <v>35</v>
      </c>
      <c r="C21">
        <v>14333</v>
      </c>
      <c r="D21">
        <v>68</v>
      </c>
      <c r="E21" t="s">
        <v>21</v>
      </c>
      <c r="F21">
        <v>116</v>
      </c>
      <c r="G21">
        <v>1</v>
      </c>
      <c r="H21">
        <v>50</v>
      </c>
      <c r="I21">
        <v>1</v>
      </c>
      <c r="J21">
        <v>2</v>
      </c>
      <c r="K21" t="s">
        <v>22</v>
      </c>
      <c r="L21" s="1">
        <v>849869.13399999996</v>
      </c>
      <c r="M21" s="1">
        <v>694824</v>
      </c>
      <c r="N21" s="1">
        <v>-6930.866</v>
      </c>
      <c r="O21" s="1">
        <v>62953.262999999999</v>
      </c>
      <c r="P21" s="1">
        <v>793333.34</v>
      </c>
      <c r="Q21">
        <v>-6417.4690000000001</v>
      </c>
      <c r="R21">
        <v>-406</v>
      </c>
      <c r="S21" s="2">
        <v>12.417199999999999</v>
      </c>
      <c r="T21" t="s">
        <v>23</v>
      </c>
    </row>
    <row r="22" spans="1:20" x14ac:dyDescent="0.35">
      <c r="A22">
        <v>3604081</v>
      </c>
      <c r="B22" t="s">
        <v>71</v>
      </c>
      <c r="C22">
        <v>14333</v>
      </c>
      <c r="D22">
        <v>92</v>
      </c>
      <c r="E22" t="s">
        <v>21</v>
      </c>
      <c r="F22">
        <v>111</v>
      </c>
      <c r="G22">
        <v>25</v>
      </c>
      <c r="H22">
        <v>40</v>
      </c>
      <c r="I22">
        <v>1</v>
      </c>
      <c r="J22">
        <v>2</v>
      </c>
      <c r="K22" t="s">
        <v>22</v>
      </c>
      <c r="L22" s="1">
        <v>759162.79500000004</v>
      </c>
      <c r="M22" s="1">
        <v>517500</v>
      </c>
      <c r="N22" s="1">
        <v>-15937.205</v>
      </c>
      <c r="O22" s="1">
        <v>56234.281000000003</v>
      </c>
      <c r="P22" s="1">
        <v>717685.18500000006</v>
      </c>
      <c r="Q22">
        <v>-14756.671</v>
      </c>
      <c r="R22">
        <v>-985</v>
      </c>
      <c r="S22" s="2">
        <v>27.8932</v>
      </c>
      <c r="T22" t="s">
        <v>23</v>
      </c>
    </row>
    <row r="23" spans="1:20" x14ac:dyDescent="0.35">
      <c r="A23">
        <v>3122879</v>
      </c>
      <c r="B23" t="s">
        <v>29</v>
      </c>
      <c r="C23">
        <v>14333</v>
      </c>
      <c r="D23">
        <v>100</v>
      </c>
      <c r="E23" t="s">
        <v>21</v>
      </c>
      <c r="F23">
        <v>117</v>
      </c>
      <c r="G23">
        <v>30</v>
      </c>
      <c r="H23">
        <v>10</v>
      </c>
      <c r="I23">
        <v>1</v>
      </c>
      <c r="J23">
        <v>2</v>
      </c>
      <c r="K23" t="s">
        <v>22</v>
      </c>
      <c r="L23" s="1">
        <v>754700</v>
      </c>
      <c r="M23" s="1">
        <v>546083.73140000005</v>
      </c>
      <c r="N23" s="1">
        <v>0</v>
      </c>
      <c r="O23" s="1">
        <v>68609.091</v>
      </c>
      <c r="P23" s="1">
        <v>686090.90899999999</v>
      </c>
      <c r="Q23">
        <v>0</v>
      </c>
      <c r="R23">
        <v>0</v>
      </c>
      <c r="S23" s="2">
        <v>20.406600000000001</v>
      </c>
      <c r="T23" t="s">
        <v>23</v>
      </c>
    </row>
    <row r="24" spans="1:20" x14ac:dyDescent="0.35">
      <c r="A24">
        <v>3133384</v>
      </c>
      <c r="B24" t="s">
        <v>30</v>
      </c>
      <c r="C24">
        <v>14333</v>
      </c>
      <c r="D24">
        <v>50</v>
      </c>
      <c r="E24" t="s">
        <v>21</v>
      </c>
      <c r="F24">
        <v>116</v>
      </c>
      <c r="G24">
        <v>5</v>
      </c>
      <c r="H24">
        <v>1</v>
      </c>
      <c r="I24">
        <v>1</v>
      </c>
      <c r="J24">
        <v>2</v>
      </c>
      <c r="K24" t="s">
        <v>22</v>
      </c>
      <c r="L24" s="1">
        <v>659681.68799999997</v>
      </c>
      <c r="M24" s="1">
        <v>505310.4669</v>
      </c>
      <c r="N24" s="1">
        <v>-10318.312</v>
      </c>
      <c r="O24" s="1">
        <v>48865.326000000001</v>
      </c>
      <c r="P24" s="1">
        <v>620370.35499999998</v>
      </c>
      <c r="Q24">
        <v>-9553.9930000000004</v>
      </c>
      <c r="R24">
        <v>-763</v>
      </c>
      <c r="S24" s="2">
        <v>18.547000000000001</v>
      </c>
      <c r="T24" t="s">
        <v>23</v>
      </c>
    </row>
    <row r="25" spans="1:20" x14ac:dyDescent="0.35">
      <c r="A25">
        <v>3118309</v>
      </c>
      <c r="B25" t="s">
        <v>28</v>
      </c>
      <c r="C25">
        <v>14333</v>
      </c>
      <c r="D25">
        <v>91</v>
      </c>
      <c r="E25" t="s">
        <v>21</v>
      </c>
      <c r="F25">
        <v>117</v>
      </c>
      <c r="G25">
        <v>30</v>
      </c>
      <c r="H25">
        <v>10</v>
      </c>
      <c r="I25">
        <v>1</v>
      </c>
      <c r="J25">
        <v>2</v>
      </c>
      <c r="K25" t="s">
        <v>22</v>
      </c>
      <c r="L25" s="1">
        <v>644192.28599999996</v>
      </c>
      <c r="M25" s="1">
        <v>481614.83809999999</v>
      </c>
      <c r="N25" s="1">
        <v>-7907.7139999999999</v>
      </c>
      <c r="O25" s="1">
        <v>58562.936000000002</v>
      </c>
      <c r="P25" s="1">
        <v>592818.18099999998</v>
      </c>
      <c r="Q25">
        <v>-7188.8310000000001</v>
      </c>
      <c r="R25">
        <v>-718</v>
      </c>
      <c r="S25" s="2">
        <v>18.758500000000002</v>
      </c>
      <c r="T25" t="s">
        <v>23</v>
      </c>
    </row>
    <row r="26" spans="1:20" x14ac:dyDescent="0.35">
      <c r="A26">
        <v>3591824</v>
      </c>
      <c r="B26" t="s">
        <v>65</v>
      </c>
      <c r="C26">
        <v>14333</v>
      </c>
      <c r="D26">
        <v>50</v>
      </c>
      <c r="E26" t="s">
        <v>21</v>
      </c>
      <c r="F26">
        <v>116</v>
      </c>
      <c r="G26">
        <v>1</v>
      </c>
      <c r="H26">
        <v>25</v>
      </c>
      <c r="I26">
        <v>1</v>
      </c>
      <c r="J26">
        <v>2</v>
      </c>
      <c r="K26" t="s">
        <v>22</v>
      </c>
      <c r="L26" s="1">
        <v>613666.78700000001</v>
      </c>
      <c r="M26" s="1">
        <v>419161.0367</v>
      </c>
      <c r="N26" s="1">
        <v>-26333.213</v>
      </c>
      <c r="O26" s="1">
        <v>45456.794999999998</v>
      </c>
      <c r="P26" s="1">
        <v>592592.59600000002</v>
      </c>
      <c r="Q26">
        <v>-24382.603999999999</v>
      </c>
      <c r="R26">
        <v>-1947</v>
      </c>
      <c r="S26" s="2">
        <v>29.2666</v>
      </c>
      <c r="T26" t="s">
        <v>23</v>
      </c>
    </row>
    <row r="27" spans="1:20" x14ac:dyDescent="0.35">
      <c r="A27">
        <v>3135165</v>
      </c>
      <c r="B27" t="s">
        <v>31</v>
      </c>
      <c r="C27">
        <v>14333</v>
      </c>
      <c r="D27">
        <v>74</v>
      </c>
      <c r="E27" t="s">
        <v>21</v>
      </c>
      <c r="F27">
        <v>116</v>
      </c>
      <c r="G27">
        <v>1</v>
      </c>
      <c r="H27">
        <v>25</v>
      </c>
      <c r="I27">
        <v>1</v>
      </c>
      <c r="J27">
        <v>2</v>
      </c>
      <c r="K27" t="s">
        <v>22</v>
      </c>
      <c r="L27" s="1">
        <v>623576.48199999996</v>
      </c>
      <c r="M27" s="1">
        <v>499533.39270000003</v>
      </c>
      <c r="N27" s="1">
        <v>-12823.518</v>
      </c>
      <c r="O27" s="1">
        <v>46190.851000000002</v>
      </c>
      <c r="P27" s="1">
        <v>589259.25899999996</v>
      </c>
      <c r="Q27">
        <v>-11873.628000000001</v>
      </c>
      <c r="R27">
        <v>-948</v>
      </c>
      <c r="S27" s="2">
        <v>15.226900000000001</v>
      </c>
      <c r="T27" t="s">
        <v>23</v>
      </c>
    </row>
    <row r="28" spans="1:20" x14ac:dyDescent="0.35">
      <c r="A28">
        <v>3604079</v>
      </c>
      <c r="B28" t="s">
        <v>70</v>
      </c>
      <c r="C28">
        <v>14333</v>
      </c>
      <c r="D28">
        <v>57</v>
      </c>
      <c r="E28" t="s">
        <v>45</v>
      </c>
      <c r="F28">
        <v>111</v>
      </c>
      <c r="G28">
        <v>25</v>
      </c>
      <c r="H28">
        <v>40</v>
      </c>
      <c r="I28">
        <v>1</v>
      </c>
      <c r="J28">
        <v>2</v>
      </c>
      <c r="K28" t="s">
        <v>22</v>
      </c>
      <c r="L28" s="1">
        <v>545131.353</v>
      </c>
      <c r="M28" s="1">
        <v>360792.48389999999</v>
      </c>
      <c r="N28" s="1">
        <v>-2068.6469999999999</v>
      </c>
      <c r="O28" s="1">
        <v>40380.095999999998</v>
      </c>
      <c r="P28" s="1">
        <v>506666.67099999997</v>
      </c>
      <c r="Q28">
        <v>-1915.414</v>
      </c>
      <c r="R28">
        <v>-153</v>
      </c>
      <c r="S28" s="2">
        <v>28.791</v>
      </c>
      <c r="T28" t="s">
        <v>23</v>
      </c>
    </row>
    <row r="29" spans="1:20" x14ac:dyDescent="0.35">
      <c r="A29">
        <v>3414652</v>
      </c>
      <c r="B29" t="s">
        <v>53</v>
      </c>
      <c r="C29">
        <v>14333</v>
      </c>
      <c r="D29">
        <v>13</v>
      </c>
      <c r="E29" t="s">
        <v>21</v>
      </c>
      <c r="F29">
        <v>116</v>
      </c>
      <c r="G29">
        <v>1</v>
      </c>
      <c r="H29">
        <v>5</v>
      </c>
      <c r="I29">
        <v>1</v>
      </c>
      <c r="J29">
        <v>2</v>
      </c>
      <c r="K29" t="s">
        <v>22</v>
      </c>
      <c r="L29" s="1">
        <v>458279.52399999998</v>
      </c>
      <c r="M29" s="1">
        <v>362325.52069999999</v>
      </c>
      <c r="N29" s="1">
        <v>-25320.475999999999</v>
      </c>
      <c r="O29" s="1">
        <v>33946.635999999999</v>
      </c>
      <c r="P29" s="1">
        <v>447777.77299999999</v>
      </c>
      <c r="Q29">
        <v>-23444.884999999998</v>
      </c>
      <c r="R29">
        <v>-1875</v>
      </c>
      <c r="S29" s="2">
        <v>19.0837</v>
      </c>
      <c r="T29" t="s">
        <v>23</v>
      </c>
    </row>
    <row r="30" spans="1:20" x14ac:dyDescent="0.35">
      <c r="A30">
        <v>3605088</v>
      </c>
      <c r="B30" t="s">
        <v>75</v>
      </c>
      <c r="C30">
        <v>14333</v>
      </c>
      <c r="D30">
        <v>19</v>
      </c>
      <c r="E30" t="s">
        <v>21</v>
      </c>
      <c r="F30">
        <v>116</v>
      </c>
      <c r="G30">
        <v>1</v>
      </c>
      <c r="H30">
        <v>25</v>
      </c>
      <c r="I30">
        <v>1</v>
      </c>
      <c r="J30">
        <v>2</v>
      </c>
      <c r="K30" t="s">
        <v>22</v>
      </c>
      <c r="L30" s="1">
        <v>470753.11</v>
      </c>
      <c r="M30" s="1">
        <v>295776.0894</v>
      </c>
      <c r="N30" s="1">
        <v>-4246.8900000000003</v>
      </c>
      <c r="O30" s="1">
        <v>34870.603000000003</v>
      </c>
      <c r="P30" s="1">
        <v>439814.81300000002</v>
      </c>
      <c r="Q30">
        <v>-3932.306</v>
      </c>
      <c r="R30">
        <v>-175</v>
      </c>
      <c r="S30" s="2">
        <v>32.749899999999997</v>
      </c>
      <c r="T30" t="s">
        <v>23</v>
      </c>
    </row>
    <row r="31" spans="1:20" x14ac:dyDescent="0.35">
      <c r="A31">
        <v>3177617</v>
      </c>
      <c r="B31" t="s">
        <v>34</v>
      </c>
      <c r="C31">
        <v>14333</v>
      </c>
      <c r="D31">
        <v>36</v>
      </c>
      <c r="E31" t="s">
        <v>21</v>
      </c>
      <c r="F31">
        <v>116</v>
      </c>
      <c r="G31">
        <v>1</v>
      </c>
      <c r="H31">
        <v>50</v>
      </c>
      <c r="I31">
        <v>1</v>
      </c>
      <c r="J31">
        <v>2</v>
      </c>
      <c r="K31" t="s">
        <v>22</v>
      </c>
      <c r="L31" s="1">
        <v>445666.30900000001</v>
      </c>
      <c r="M31" s="1">
        <v>367204.37239999999</v>
      </c>
      <c r="N31" s="1">
        <v>-7933.6909999999998</v>
      </c>
      <c r="O31" s="1">
        <v>33012.315000000002</v>
      </c>
      <c r="P31" s="1">
        <v>420000.00400000002</v>
      </c>
      <c r="Q31">
        <v>-7346.01</v>
      </c>
      <c r="R31">
        <v>-587</v>
      </c>
      <c r="S31" s="2">
        <v>12.570399999999999</v>
      </c>
      <c r="T31" t="s">
        <v>23</v>
      </c>
    </row>
    <row r="32" spans="1:20" x14ac:dyDescent="0.35">
      <c r="A32">
        <v>3558471</v>
      </c>
      <c r="B32" t="s">
        <v>61</v>
      </c>
      <c r="C32">
        <v>14333</v>
      </c>
      <c r="D32">
        <v>33</v>
      </c>
      <c r="E32" t="s">
        <v>21</v>
      </c>
      <c r="F32">
        <v>116</v>
      </c>
      <c r="G32">
        <v>5</v>
      </c>
      <c r="H32">
        <v>1</v>
      </c>
      <c r="I32">
        <v>1</v>
      </c>
      <c r="J32">
        <v>2</v>
      </c>
      <c r="K32" t="s">
        <v>22</v>
      </c>
      <c r="L32" s="1">
        <v>442200</v>
      </c>
      <c r="M32" s="1">
        <v>294126.41649999999</v>
      </c>
      <c r="N32" s="1">
        <v>0</v>
      </c>
      <c r="O32" s="1">
        <v>32755.561000000002</v>
      </c>
      <c r="P32" s="1">
        <v>409444.43900000001</v>
      </c>
      <c r="Q32">
        <v>0</v>
      </c>
      <c r="R32">
        <v>0</v>
      </c>
      <c r="S32" s="2">
        <v>28.1646</v>
      </c>
      <c r="T32" t="s">
        <v>23</v>
      </c>
    </row>
    <row r="33" spans="1:20" x14ac:dyDescent="0.35">
      <c r="A33">
        <v>3414651</v>
      </c>
      <c r="B33" t="s">
        <v>52</v>
      </c>
      <c r="C33">
        <v>14333</v>
      </c>
      <c r="D33">
        <v>11</v>
      </c>
      <c r="E33" t="s">
        <v>21</v>
      </c>
      <c r="F33">
        <v>116</v>
      </c>
      <c r="G33">
        <v>1</v>
      </c>
      <c r="H33">
        <v>5</v>
      </c>
      <c r="I33">
        <v>1</v>
      </c>
      <c r="J33">
        <v>2</v>
      </c>
      <c r="K33" t="s">
        <v>22</v>
      </c>
      <c r="L33" s="1">
        <v>409200</v>
      </c>
      <c r="M33" s="1">
        <v>307213.11060000001</v>
      </c>
      <c r="N33" s="1">
        <v>0</v>
      </c>
      <c r="O33" s="1">
        <v>30311.114000000001</v>
      </c>
      <c r="P33" s="1">
        <v>378888.886</v>
      </c>
      <c r="Q33">
        <v>0</v>
      </c>
      <c r="R33">
        <v>0</v>
      </c>
      <c r="S33" s="2">
        <v>18.917400000000001</v>
      </c>
      <c r="T33" t="s">
        <v>23</v>
      </c>
    </row>
    <row r="34" spans="1:20" x14ac:dyDescent="0.35">
      <c r="A34">
        <v>3581241</v>
      </c>
      <c r="B34" t="s">
        <v>63</v>
      </c>
      <c r="C34">
        <v>14333</v>
      </c>
      <c r="D34">
        <v>40</v>
      </c>
      <c r="E34" t="s">
        <v>21</v>
      </c>
      <c r="F34">
        <v>117</v>
      </c>
      <c r="G34">
        <v>30</v>
      </c>
      <c r="H34">
        <v>10</v>
      </c>
      <c r="I34">
        <v>1</v>
      </c>
      <c r="J34">
        <v>2</v>
      </c>
      <c r="K34" t="s">
        <v>22</v>
      </c>
      <c r="L34" s="1">
        <v>392000</v>
      </c>
      <c r="M34" s="1">
        <v>249778.016</v>
      </c>
      <c r="N34" s="1">
        <v>0</v>
      </c>
      <c r="O34" s="1">
        <v>35636.362000000001</v>
      </c>
      <c r="P34" s="1">
        <v>356363.63799999998</v>
      </c>
      <c r="Q34">
        <v>0</v>
      </c>
      <c r="R34">
        <v>0</v>
      </c>
      <c r="S34" s="2">
        <v>29.909300000000002</v>
      </c>
      <c r="T34" t="s">
        <v>23</v>
      </c>
    </row>
    <row r="35" spans="1:20" x14ac:dyDescent="0.35">
      <c r="A35">
        <v>3289367</v>
      </c>
      <c r="B35" t="s">
        <v>40</v>
      </c>
      <c r="C35">
        <v>14333</v>
      </c>
      <c r="D35">
        <v>50</v>
      </c>
      <c r="E35" t="s">
        <v>21</v>
      </c>
      <c r="F35">
        <v>117</v>
      </c>
      <c r="G35">
        <v>30</v>
      </c>
      <c r="H35">
        <v>25</v>
      </c>
      <c r="I35">
        <v>1</v>
      </c>
      <c r="J35">
        <v>2</v>
      </c>
      <c r="K35" t="s">
        <v>22</v>
      </c>
      <c r="L35" s="1">
        <v>323553.17300000001</v>
      </c>
      <c r="M35" s="1">
        <v>269103.03999999998</v>
      </c>
      <c r="N35" s="1">
        <v>-51446.826999999997</v>
      </c>
      <c r="O35" s="1">
        <v>29413.922999999999</v>
      </c>
      <c r="P35" s="1">
        <v>340909.09299999999</v>
      </c>
      <c r="Q35">
        <v>-46769.843000000001</v>
      </c>
      <c r="R35">
        <v>-624</v>
      </c>
      <c r="S35" s="2">
        <v>21.063199999999998</v>
      </c>
      <c r="T35" t="s">
        <v>23</v>
      </c>
    </row>
    <row r="36" spans="1:20" x14ac:dyDescent="0.35">
      <c r="A36">
        <v>3519906</v>
      </c>
      <c r="B36" t="s">
        <v>58</v>
      </c>
      <c r="C36">
        <v>14333</v>
      </c>
      <c r="D36">
        <v>38</v>
      </c>
      <c r="E36" t="s">
        <v>21</v>
      </c>
      <c r="F36">
        <v>117</v>
      </c>
      <c r="G36">
        <v>30</v>
      </c>
      <c r="H36">
        <v>10</v>
      </c>
      <c r="I36">
        <v>1</v>
      </c>
      <c r="J36">
        <v>2</v>
      </c>
      <c r="K36" t="s">
        <v>22</v>
      </c>
      <c r="L36" s="1">
        <v>369240.1</v>
      </c>
      <c r="M36" s="1">
        <v>249374.47760000001</v>
      </c>
      <c r="N36" s="1">
        <v>-3159.9</v>
      </c>
      <c r="O36" s="1">
        <v>33567.283000000003</v>
      </c>
      <c r="P36" s="1">
        <v>338545.45299999998</v>
      </c>
      <c r="Q36">
        <v>-2872.636</v>
      </c>
      <c r="R36">
        <v>-287</v>
      </c>
      <c r="S36" s="2">
        <v>26.339500000000001</v>
      </c>
      <c r="T36" t="s">
        <v>23</v>
      </c>
    </row>
    <row r="37" spans="1:20" x14ac:dyDescent="0.35">
      <c r="A37">
        <v>3604386</v>
      </c>
      <c r="B37" t="s">
        <v>72</v>
      </c>
      <c r="C37">
        <v>14333</v>
      </c>
      <c r="D37">
        <v>27</v>
      </c>
      <c r="E37" t="s">
        <v>21</v>
      </c>
      <c r="F37">
        <v>116</v>
      </c>
      <c r="G37">
        <v>5</v>
      </c>
      <c r="H37">
        <v>1</v>
      </c>
      <c r="I37">
        <v>1</v>
      </c>
      <c r="J37">
        <v>2</v>
      </c>
      <c r="K37" t="s">
        <v>22</v>
      </c>
      <c r="L37" s="1">
        <v>364500</v>
      </c>
      <c r="M37" s="1">
        <v>227966.4</v>
      </c>
      <c r="N37" s="1">
        <v>0</v>
      </c>
      <c r="O37" s="1">
        <v>27000</v>
      </c>
      <c r="P37" s="1">
        <v>337500</v>
      </c>
      <c r="Q37">
        <v>0</v>
      </c>
      <c r="R37">
        <v>0</v>
      </c>
      <c r="S37" s="2">
        <v>32.4544</v>
      </c>
      <c r="T37" t="s">
        <v>23</v>
      </c>
    </row>
    <row r="38" spans="1:20" x14ac:dyDescent="0.35">
      <c r="A38">
        <v>3604536</v>
      </c>
      <c r="B38" t="s">
        <v>74</v>
      </c>
      <c r="C38">
        <v>14333</v>
      </c>
      <c r="D38">
        <v>38</v>
      </c>
      <c r="E38" t="s">
        <v>21</v>
      </c>
      <c r="F38">
        <v>117</v>
      </c>
      <c r="G38">
        <v>30</v>
      </c>
      <c r="H38">
        <v>10</v>
      </c>
      <c r="I38">
        <v>1</v>
      </c>
      <c r="J38">
        <v>2</v>
      </c>
      <c r="K38" t="s">
        <v>22</v>
      </c>
      <c r="L38" s="1">
        <v>342061.549</v>
      </c>
      <c r="M38" s="1">
        <v>143864.02900000001</v>
      </c>
      <c r="N38" s="1">
        <v>-3838.451</v>
      </c>
      <c r="O38" s="1">
        <v>25337.891</v>
      </c>
      <c r="P38" s="1">
        <v>320277.77899999998</v>
      </c>
      <c r="Q38">
        <v>-3554.1210000000001</v>
      </c>
      <c r="R38">
        <v>-284</v>
      </c>
      <c r="S38" s="2">
        <v>55.081499999999998</v>
      </c>
      <c r="T38" t="s">
        <v>23</v>
      </c>
    </row>
    <row r="39" spans="1:20" x14ac:dyDescent="0.35">
      <c r="A39">
        <v>3608494</v>
      </c>
      <c r="B39" t="s">
        <v>80</v>
      </c>
      <c r="C39">
        <v>14333</v>
      </c>
      <c r="D39">
        <v>53</v>
      </c>
      <c r="E39" t="s">
        <v>21</v>
      </c>
      <c r="F39">
        <v>117</v>
      </c>
      <c r="G39">
        <v>30</v>
      </c>
      <c r="H39">
        <v>25</v>
      </c>
      <c r="I39">
        <v>1</v>
      </c>
      <c r="J39">
        <v>2</v>
      </c>
      <c r="K39" t="s">
        <v>22</v>
      </c>
      <c r="L39" s="1">
        <v>350000</v>
      </c>
      <c r="M39" s="1">
        <v>224932.4645</v>
      </c>
      <c r="N39" s="1">
        <v>0</v>
      </c>
      <c r="O39" s="1">
        <v>31818.18</v>
      </c>
      <c r="P39" s="1">
        <v>318181.82</v>
      </c>
      <c r="Q39">
        <v>0</v>
      </c>
      <c r="R39">
        <v>0</v>
      </c>
      <c r="S39" s="2">
        <v>29.306999999999999</v>
      </c>
      <c r="T39" t="s">
        <v>23</v>
      </c>
    </row>
    <row r="40" spans="1:20" x14ac:dyDescent="0.35">
      <c r="A40">
        <v>3370286</v>
      </c>
      <c r="B40" t="s">
        <v>48</v>
      </c>
      <c r="C40">
        <v>14333</v>
      </c>
      <c r="D40">
        <v>18</v>
      </c>
      <c r="E40" t="s">
        <v>21</v>
      </c>
      <c r="F40">
        <v>116</v>
      </c>
      <c r="G40">
        <v>5</v>
      </c>
      <c r="H40">
        <v>10</v>
      </c>
      <c r="I40">
        <v>10</v>
      </c>
      <c r="J40">
        <v>2</v>
      </c>
      <c r="K40" t="s">
        <v>22</v>
      </c>
      <c r="L40" s="1">
        <v>309670.82500000001</v>
      </c>
      <c r="M40" s="1">
        <v>264302.05320000002</v>
      </c>
      <c r="N40" s="1">
        <v>-23329.174999999999</v>
      </c>
      <c r="O40" s="1">
        <v>22938.576000000001</v>
      </c>
      <c r="P40" s="1">
        <v>308333.337</v>
      </c>
      <c r="Q40">
        <v>-21601.088</v>
      </c>
      <c r="R40">
        <v>-1260</v>
      </c>
      <c r="S40" s="2">
        <v>14.2805</v>
      </c>
      <c r="T40" t="s">
        <v>23</v>
      </c>
    </row>
    <row r="41" spans="1:20" x14ac:dyDescent="0.35">
      <c r="A41">
        <v>3591788</v>
      </c>
      <c r="B41" t="s">
        <v>64</v>
      </c>
      <c r="C41">
        <v>14333</v>
      </c>
      <c r="D41">
        <v>19</v>
      </c>
      <c r="E41" t="s">
        <v>21</v>
      </c>
      <c r="F41">
        <v>116</v>
      </c>
      <c r="G41">
        <v>5</v>
      </c>
      <c r="H41">
        <v>10</v>
      </c>
      <c r="I41">
        <v>5</v>
      </c>
      <c r="J41">
        <v>2</v>
      </c>
      <c r="K41" t="s">
        <v>22</v>
      </c>
      <c r="L41" s="1">
        <v>313060.44400000002</v>
      </c>
      <c r="M41" s="1">
        <v>213287.12959999999</v>
      </c>
      <c r="N41" s="1">
        <v>-4239.5559999999996</v>
      </c>
      <c r="O41" s="1">
        <v>23189.657999999999</v>
      </c>
      <c r="P41" s="1">
        <v>293796.30099999998</v>
      </c>
      <c r="Q41">
        <v>-3925.5149999999999</v>
      </c>
      <c r="R41">
        <v>-314</v>
      </c>
      <c r="S41" s="2">
        <v>27.403099999999998</v>
      </c>
      <c r="T41" t="s">
        <v>23</v>
      </c>
    </row>
    <row r="42" spans="1:20" x14ac:dyDescent="0.35">
      <c r="A42">
        <v>3302902</v>
      </c>
      <c r="B42" t="s">
        <v>46</v>
      </c>
      <c r="C42">
        <v>14333</v>
      </c>
      <c r="D42">
        <v>2</v>
      </c>
      <c r="E42" t="s">
        <v>45</v>
      </c>
      <c r="F42">
        <v>117</v>
      </c>
      <c r="G42">
        <v>30</v>
      </c>
      <c r="H42">
        <v>10</v>
      </c>
      <c r="I42">
        <v>1</v>
      </c>
      <c r="J42">
        <v>2</v>
      </c>
      <c r="K42" t="s">
        <v>22</v>
      </c>
      <c r="L42" s="1">
        <v>318000</v>
      </c>
      <c r="M42" s="1">
        <v>254543.2536</v>
      </c>
      <c r="N42" s="1">
        <v>0</v>
      </c>
      <c r="O42" s="1">
        <v>28909.1</v>
      </c>
      <c r="P42" s="1">
        <v>289090.90000000002</v>
      </c>
      <c r="Q42">
        <v>0</v>
      </c>
      <c r="R42">
        <v>0</v>
      </c>
      <c r="S42" s="2">
        <v>11.9505</v>
      </c>
      <c r="T42" t="s">
        <v>23</v>
      </c>
    </row>
    <row r="43" spans="1:20" x14ac:dyDescent="0.35">
      <c r="A43">
        <v>3558472</v>
      </c>
      <c r="B43" t="s">
        <v>62</v>
      </c>
      <c r="C43">
        <v>14333</v>
      </c>
      <c r="D43">
        <v>22</v>
      </c>
      <c r="E43" t="s">
        <v>21</v>
      </c>
      <c r="F43">
        <v>116</v>
      </c>
      <c r="G43">
        <v>5</v>
      </c>
      <c r="H43">
        <v>1</v>
      </c>
      <c r="I43">
        <v>1</v>
      </c>
      <c r="J43">
        <v>2</v>
      </c>
      <c r="K43" t="s">
        <v>22</v>
      </c>
      <c r="L43" s="1">
        <v>289663.78399999999</v>
      </c>
      <c r="M43" s="1">
        <v>185836.53839999999</v>
      </c>
      <c r="N43" s="1">
        <v>-5136.2160000000003</v>
      </c>
      <c r="O43" s="1">
        <v>21456.580999999998</v>
      </c>
      <c r="P43" s="1">
        <v>272962.95899999997</v>
      </c>
      <c r="Q43">
        <v>-4755.7560000000003</v>
      </c>
      <c r="R43">
        <v>-380</v>
      </c>
      <c r="S43" s="2">
        <v>31.918800000000001</v>
      </c>
      <c r="T43" t="s">
        <v>23</v>
      </c>
    </row>
    <row r="44" spans="1:20" x14ac:dyDescent="0.35">
      <c r="A44">
        <v>3535638</v>
      </c>
      <c r="B44" t="s">
        <v>59</v>
      </c>
      <c r="C44">
        <v>14333</v>
      </c>
      <c r="D44">
        <v>28</v>
      </c>
      <c r="E44" t="s">
        <v>21</v>
      </c>
      <c r="F44">
        <v>117</v>
      </c>
      <c r="G44">
        <v>30</v>
      </c>
      <c r="H44">
        <v>10</v>
      </c>
      <c r="I44">
        <v>1</v>
      </c>
      <c r="J44">
        <v>2</v>
      </c>
      <c r="K44" t="s">
        <v>22</v>
      </c>
      <c r="L44" s="1">
        <v>271240.09999999998</v>
      </c>
      <c r="M44" s="1">
        <v>201388.68040000001</v>
      </c>
      <c r="N44" s="1">
        <v>-3159.9</v>
      </c>
      <c r="O44" s="1">
        <v>24658.190999999999</v>
      </c>
      <c r="P44" s="1">
        <v>249454.54500000001</v>
      </c>
      <c r="Q44">
        <v>-2872.636</v>
      </c>
      <c r="R44">
        <v>-287</v>
      </c>
      <c r="S44" s="2">
        <v>19.2684</v>
      </c>
      <c r="T44" t="s">
        <v>23</v>
      </c>
    </row>
    <row r="45" spans="1:20" x14ac:dyDescent="0.35">
      <c r="A45">
        <v>3605089</v>
      </c>
      <c r="B45" t="s">
        <v>76</v>
      </c>
      <c r="C45">
        <v>14333</v>
      </c>
      <c r="D45">
        <v>5</v>
      </c>
      <c r="E45" t="s">
        <v>21</v>
      </c>
      <c r="F45">
        <v>116</v>
      </c>
      <c r="G45">
        <v>1</v>
      </c>
      <c r="H45">
        <v>25</v>
      </c>
      <c r="I45">
        <v>1</v>
      </c>
      <c r="J45">
        <v>2</v>
      </c>
      <c r="K45" t="s">
        <v>22</v>
      </c>
      <c r="L45" s="1">
        <v>259000</v>
      </c>
      <c r="M45" s="1">
        <v>151472.55669999999</v>
      </c>
      <c r="N45" s="1">
        <v>0</v>
      </c>
      <c r="O45" s="1">
        <v>19185.185000000001</v>
      </c>
      <c r="P45" s="1">
        <v>239814.815</v>
      </c>
      <c r="Q45">
        <v>0</v>
      </c>
      <c r="R45">
        <v>0</v>
      </c>
      <c r="S45" s="2">
        <v>36.837699999999998</v>
      </c>
      <c r="T45" t="s">
        <v>23</v>
      </c>
    </row>
    <row r="46" spans="1:20" x14ac:dyDescent="0.35">
      <c r="A46">
        <v>3558141</v>
      </c>
      <c r="B46" t="s">
        <v>60</v>
      </c>
      <c r="C46">
        <v>14333</v>
      </c>
      <c r="D46">
        <v>26</v>
      </c>
      <c r="E46" t="s">
        <v>21</v>
      </c>
      <c r="F46">
        <v>117</v>
      </c>
      <c r="G46">
        <v>30</v>
      </c>
      <c r="H46">
        <v>10</v>
      </c>
      <c r="I46">
        <v>1</v>
      </c>
      <c r="J46">
        <v>2</v>
      </c>
      <c r="K46" t="s">
        <v>22</v>
      </c>
      <c r="L46" s="1">
        <v>251640.1</v>
      </c>
      <c r="M46" s="1">
        <v>171145.76180000001</v>
      </c>
      <c r="N46" s="1">
        <v>-3159.9</v>
      </c>
      <c r="O46" s="1">
        <v>22876.370999999999</v>
      </c>
      <c r="P46" s="1">
        <v>231636.36499999999</v>
      </c>
      <c r="Q46">
        <v>-2872.636</v>
      </c>
      <c r="R46">
        <v>-287</v>
      </c>
      <c r="S46" s="2">
        <v>26.1145</v>
      </c>
      <c r="T46" t="s">
        <v>23</v>
      </c>
    </row>
    <row r="47" spans="1:20" x14ac:dyDescent="0.35">
      <c r="A47">
        <v>3269087</v>
      </c>
      <c r="B47" t="s">
        <v>37</v>
      </c>
      <c r="C47">
        <v>14333</v>
      </c>
      <c r="D47">
        <v>29</v>
      </c>
      <c r="E47" t="s">
        <v>21</v>
      </c>
      <c r="F47">
        <v>116</v>
      </c>
      <c r="G47">
        <v>1</v>
      </c>
      <c r="H47">
        <v>25</v>
      </c>
      <c r="I47">
        <v>1</v>
      </c>
      <c r="J47">
        <v>2</v>
      </c>
      <c r="K47" t="s">
        <v>22</v>
      </c>
      <c r="L47" s="1">
        <v>235629.696</v>
      </c>
      <c r="M47" s="1">
        <v>195311.3799</v>
      </c>
      <c r="N47" s="1">
        <v>-13770.304</v>
      </c>
      <c r="O47" s="1">
        <v>17454.050999999999</v>
      </c>
      <c r="P47" s="1">
        <v>230925.927</v>
      </c>
      <c r="Q47">
        <v>-12750.281999999999</v>
      </c>
      <c r="R47">
        <v>-1018</v>
      </c>
      <c r="S47" s="2">
        <v>15.422499999999999</v>
      </c>
      <c r="T47" t="s">
        <v>23</v>
      </c>
    </row>
    <row r="48" spans="1:20" x14ac:dyDescent="0.35">
      <c r="A48">
        <v>3114560</v>
      </c>
      <c r="B48" t="s">
        <v>26</v>
      </c>
      <c r="C48">
        <v>14333</v>
      </c>
      <c r="D48">
        <v>27</v>
      </c>
      <c r="E48" t="s">
        <v>21</v>
      </c>
      <c r="F48">
        <v>116</v>
      </c>
      <c r="G48">
        <v>1</v>
      </c>
      <c r="H48">
        <v>25</v>
      </c>
      <c r="I48">
        <v>1</v>
      </c>
      <c r="J48">
        <v>2</v>
      </c>
      <c r="K48" t="s">
        <v>22</v>
      </c>
      <c r="L48" s="1">
        <v>221621.18</v>
      </c>
      <c r="M48" s="1">
        <v>178471.01079999999</v>
      </c>
      <c r="N48" s="1">
        <v>-10578.82</v>
      </c>
      <c r="O48" s="1">
        <v>16416.383000000002</v>
      </c>
      <c r="P48" s="1">
        <v>215000.00099999999</v>
      </c>
      <c r="Q48">
        <v>-9795.2039999999997</v>
      </c>
      <c r="R48">
        <v>-782</v>
      </c>
      <c r="S48" s="2">
        <v>16.990300000000001</v>
      </c>
      <c r="T48" t="s">
        <v>23</v>
      </c>
    </row>
    <row r="49" spans="1:20" x14ac:dyDescent="0.35">
      <c r="A49">
        <v>3285251</v>
      </c>
      <c r="B49" t="s">
        <v>39</v>
      </c>
      <c r="C49">
        <v>14333</v>
      </c>
      <c r="D49">
        <v>14</v>
      </c>
      <c r="E49" t="s">
        <v>21</v>
      </c>
      <c r="F49">
        <v>116</v>
      </c>
      <c r="G49">
        <v>5</v>
      </c>
      <c r="H49">
        <v>1</v>
      </c>
      <c r="I49">
        <v>5</v>
      </c>
      <c r="J49">
        <v>2</v>
      </c>
      <c r="K49" t="s">
        <v>22</v>
      </c>
      <c r="L49" s="1">
        <v>222600</v>
      </c>
      <c r="M49" s="1">
        <v>157175.95740000001</v>
      </c>
      <c r="N49" s="1">
        <v>0</v>
      </c>
      <c r="O49" s="1">
        <v>16488.893</v>
      </c>
      <c r="P49" s="1">
        <v>206111.10699999999</v>
      </c>
      <c r="Q49">
        <v>0</v>
      </c>
      <c r="R49">
        <v>0</v>
      </c>
      <c r="S49" s="2">
        <v>23.7422</v>
      </c>
      <c r="T49" t="s">
        <v>23</v>
      </c>
    </row>
    <row r="50" spans="1:20" x14ac:dyDescent="0.35">
      <c r="A50">
        <v>3604387</v>
      </c>
      <c r="B50" t="s">
        <v>73</v>
      </c>
      <c r="C50">
        <v>14333</v>
      </c>
      <c r="D50">
        <v>16</v>
      </c>
      <c r="E50" t="s">
        <v>21</v>
      </c>
      <c r="F50">
        <v>116</v>
      </c>
      <c r="G50">
        <v>5</v>
      </c>
      <c r="H50">
        <v>1</v>
      </c>
      <c r="I50">
        <v>1</v>
      </c>
      <c r="J50">
        <v>2</v>
      </c>
      <c r="K50" t="s">
        <v>22</v>
      </c>
      <c r="L50" s="1">
        <v>216000</v>
      </c>
      <c r="M50" s="1">
        <v>132243.6735</v>
      </c>
      <c r="N50" s="1">
        <v>0</v>
      </c>
      <c r="O50" s="1">
        <v>16000</v>
      </c>
      <c r="P50" s="1">
        <v>200000</v>
      </c>
      <c r="Q50">
        <v>0</v>
      </c>
      <c r="R50">
        <v>0</v>
      </c>
      <c r="S50" s="2">
        <v>33.8782</v>
      </c>
      <c r="T50" t="s">
        <v>23</v>
      </c>
    </row>
    <row r="51" spans="1:20" x14ac:dyDescent="0.35">
      <c r="A51">
        <v>3114561</v>
      </c>
      <c r="B51" t="s">
        <v>27</v>
      </c>
      <c r="C51">
        <v>14333</v>
      </c>
      <c r="D51">
        <v>23</v>
      </c>
      <c r="E51" t="s">
        <v>21</v>
      </c>
      <c r="F51">
        <v>116</v>
      </c>
      <c r="G51">
        <v>1</v>
      </c>
      <c r="H51">
        <v>25</v>
      </c>
      <c r="I51">
        <v>1</v>
      </c>
      <c r="J51">
        <v>2</v>
      </c>
      <c r="K51" t="s">
        <v>22</v>
      </c>
      <c r="L51" s="1">
        <v>186255.19500000001</v>
      </c>
      <c r="M51" s="1">
        <v>154668.1336</v>
      </c>
      <c r="N51" s="1">
        <v>-11544.805</v>
      </c>
      <c r="O51" s="1">
        <v>13796.681</v>
      </c>
      <c r="P51" s="1">
        <v>183148.14799999999</v>
      </c>
      <c r="Q51">
        <v>-10689.634</v>
      </c>
      <c r="R51">
        <v>-854</v>
      </c>
      <c r="S51" s="2">
        <v>15.5503</v>
      </c>
      <c r="T51" t="s">
        <v>23</v>
      </c>
    </row>
    <row r="52" spans="1:20" x14ac:dyDescent="0.35">
      <c r="A52">
        <v>3497536</v>
      </c>
      <c r="B52" t="s">
        <v>57</v>
      </c>
      <c r="C52">
        <v>14333</v>
      </c>
      <c r="D52">
        <v>1</v>
      </c>
      <c r="E52" t="s">
        <v>45</v>
      </c>
      <c r="F52">
        <v>117</v>
      </c>
      <c r="G52">
        <v>30</v>
      </c>
      <c r="H52">
        <v>10</v>
      </c>
      <c r="I52">
        <v>1</v>
      </c>
      <c r="J52">
        <v>2</v>
      </c>
      <c r="K52" t="s">
        <v>22</v>
      </c>
      <c r="L52" s="1">
        <v>179000</v>
      </c>
      <c r="M52" s="1">
        <v>155865.09359999999</v>
      </c>
      <c r="N52" s="1">
        <v>0</v>
      </c>
      <c r="O52" s="1">
        <v>16272.73</v>
      </c>
      <c r="P52" s="1">
        <v>162727.26999999999</v>
      </c>
      <c r="Q52">
        <v>0</v>
      </c>
      <c r="R52">
        <v>0</v>
      </c>
      <c r="S52" s="2">
        <v>4.2169999999999996</v>
      </c>
      <c r="T52" t="s">
        <v>23</v>
      </c>
    </row>
    <row r="53" spans="1:20" x14ac:dyDescent="0.35">
      <c r="A53">
        <v>3155697</v>
      </c>
      <c r="B53" t="s">
        <v>32</v>
      </c>
      <c r="C53">
        <v>14333</v>
      </c>
      <c r="D53">
        <v>20</v>
      </c>
      <c r="E53" t="s">
        <v>21</v>
      </c>
      <c r="F53">
        <v>116</v>
      </c>
      <c r="G53">
        <v>1</v>
      </c>
      <c r="H53">
        <v>25</v>
      </c>
      <c r="I53">
        <v>1</v>
      </c>
      <c r="J53">
        <v>2</v>
      </c>
      <c r="K53" t="s">
        <v>22</v>
      </c>
      <c r="L53" s="1">
        <v>163723.55300000001</v>
      </c>
      <c r="M53" s="1">
        <v>133229.69</v>
      </c>
      <c r="N53" s="1">
        <v>-8276.4470000000001</v>
      </c>
      <c r="O53" s="1">
        <v>12127.67</v>
      </c>
      <c r="P53" s="1">
        <v>159259.26</v>
      </c>
      <c r="Q53">
        <v>-7663.3770000000004</v>
      </c>
      <c r="R53">
        <v>-612</v>
      </c>
      <c r="S53" s="2">
        <v>16.344200000000001</v>
      </c>
      <c r="T53" t="s">
        <v>23</v>
      </c>
    </row>
    <row r="54" spans="1:20" x14ac:dyDescent="0.35">
      <c r="A54">
        <v>3600490</v>
      </c>
      <c r="B54" t="s">
        <v>66</v>
      </c>
      <c r="C54">
        <v>14333</v>
      </c>
      <c r="D54">
        <v>18</v>
      </c>
      <c r="E54" t="s">
        <v>21</v>
      </c>
      <c r="F54">
        <v>116</v>
      </c>
      <c r="G54">
        <v>1</v>
      </c>
      <c r="H54">
        <v>25</v>
      </c>
      <c r="I54">
        <v>1</v>
      </c>
      <c r="J54">
        <v>2</v>
      </c>
      <c r="K54" t="s">
        <v>22</v>
      </c>
      <c r="L54" s="1">
        <v>146321.79199999999</v>
      </c>
      <c r="M54" s="1">
        <v>121621.6332</v>
      </c>
      <c r="N54" s="1">
        <v>-8478.2080000000005</v>
      </c>
      <c r="O54" s="1">
        <v>10838.651</v>
      </c>
      <c r="P54" s="1">
        <v>143333.334</v>
      </c>
      <c r="Q54">
        <v>-7850.1930000000002</v>
      </c>
      <c r="R54">
        <v>-555</v>
      </c>
      <c r="S54" s="2">
        <v>15.1477</v>
      </c>
      <c r="T54" t="s">
        <v>23</v>
      </c>
    </row>
    <row r="55" spans="1:20" x14ac:dyDescent="0.35">
      <c r="A55">
        <v>3089560</v>
      </c>
      <c r="B55" t="s">
        <v>20</v>
      </c>
      <c r="C55">
        <v>14333</v>
      </c>
      <c r="D55">
        <v>26</v>
      </c>
      <c r="E55" t="s">
        <v>21</v>
      </c>
      <c r="F55">
        <v>116</v>
      </c>
      <c r="G55">
        <v>5</v>
      </c>
      <c r="H55">
        <v>1</v>
      </c>
      <c r="I55">
        <v>1</v>
      </c>
      <c r="J55">
        <v>2</v>
      </c>
      <c r="K55" t="s">
        <v>22</v>
      </c>
      <c r="L55" s="1">
        <v>135465.80900000001</v>
      </c>
      <c r="M55" s="1">
        <v>103281.815</v>
      </c>
      <c r="N55" s="1">
        <v>-4934.1909999999998</v>
      </c>
      <c r="O55" s="1">
        <v>10034.504000000001</v>
      </c>
      <c r="P55" s="1">
        <v>130000.001</v>
      </c>
      <c r="Q55">
        <v>-4568.6959999999999</v>
      </c>
      <c r="R55">
        <v>-364</v>
      </c>
      <c r="S55" s="2">
        <v>20.552499999999998</v>
      </c>
      <c r="T55" t="s">
        <v>23</v>
      </c>
    </row>
    <row r="56" spans="1:20" x14ac:dyDescent="0.35">
      <c r="A56">
        <v>3606101</v>
      </c>
      <c r="B56" t="s">
        <v>77</v>
      </c>
      <c r="C56">
        <v>14333</v>
      </c>
      <c r="D56">
        <v>8</v>
      </c>
      <c r="E56" t="s">
        <v>21</v>
      </c>
      <c r="F56">
        <v>116</v>
      </c>
      <c r="G56">
        <v>5</v>
      </c>
      <c r="H56">
        <v>10</v>
      </c>
      <c r="I56">
        <v>5</v>
      </c>
      <c r="J56">
        <v>2</v>
      </c>
      <c r="K56" t="s">
        <v>22</v>
      </c>
      <c r="L56" s="1">
        <v>133600</v>
      </c>
      <c r="M56" s="1">
        <v>83833.0144</v>
      </c>
      <c r="N56" s="1">
        <v>0</v>
      </c>
      <c r="O56" s="1">
        <v>9896.2960000000003</v>
      </c>
      <c r="P56" s="1">
        <v>123703.704</v>
      </c>
      <c r="Q56">
        <v>0</v>
      </c>
      <c r="R56">
        <v>0</v>
      </c>
      <c r="S56" s="2">
        <v>32.230800000000002</v>
      </c>
      <c r="T56" t="s">
        <v>23</v>
      </c>
    </row>
    <row r="57" spans="1:20" x14ac:dyDescent="0.35">
      <c r="A57">
        <v>3399189</v>
      </c>
      <c r="B57" t="s">
        <v>51</v>
      </c>
      <c r="C57">
        <v>14333</v>
      </c>
      <c r="D57">
        <v>6</v>
      </c>
      <c r="E57" t="s">
        <v>21</v>
      </c>
      <c r="F57">
        <v>116</v>
      </c>
      <c r="G57">
        <v>5</v>
      </c>
      <c r="H57">
        <v>1</v>
      </c>
      <c r="I57">
        <v>1</v>
      </c>
      <c r="J57">
        <v>2</v>
      </c>
      <c r="K57" t="s">
        <v>22</v>
      </c>
      <c r="L57" s="1">
        <v>129000</v>
      </c>
      <c r="M57" s="1">
        <v>104760</v>
      </c>
      <c r="N57" s="1">
        <v>0</v>
      </c>
      <c r="O57" s="1">
        <v>9555.5560000000005</v>
      </c>
      <c r="P57" s="1">
        <v>119444.444</v>
      </c>
      <c r="Q57">
        <v>0</v>
      </c>
      <c r="R57">
        <v>0</v>
      </c>
      <c r="S57" s="2">
        <v>12.294</v>
      </c>
      <c r="T57" t="s">
        <v>23</v>
      </c>
    </row>
    <row r="58" spans="1:20" x14ac:dyDescent="0.35">
      <c r="A58">
        <v>3302901</v>
      </c>
      <c r="B58" t="s">
        <v>44</v>
      </c>
      <c r="C58">
        <v>14333</v>
      </c>
      <c r="D58">
        <v>3</v>
      </c>
      <c r="E58" t="s">
        <v>45</v>
      </c>
      <c r="F58">
        <v>117</v>
      </c>
      <c r="G58">
        <v>30</v>
      </c>
      <c r="H58">
        <v>10</v>
      </c>
      <c r="I58">
        <v>1</v>
      </c>
      <c r="J58">
        <v>2</v>
      </c>
      <c r="K58" t="s">
        <v>22</v>
      </c>
      <c r="L58" s="1">
        <v>119700</v>
      </c>
      <c r="M58" s="1">
        <v>95349.297600000005</v>
      </c>
      <c r="N58" s="1">
        <v>0</v>
      </c>
      <c r="O58" s="1">
        <v>10881.82</v>
      </c>
      <c r="P58" s="1">
        <v>108818.18</v>
      </c>
      <c r="Q58">
        <v>0</v>
      </c>
      <c r="R58">
        <v>0</v>
      </c>
      <c r="S58" s="2">
        <v>12.3775</v>
      </c>
      <c r="T58" t="s">
        <v>23</v>
      </c>
    </row>
    <row r="59" spans="1:20" x14ac:dyDescent="0.35">
      <c r="L59" s="1">
        <f t="shared" ref="L59:M59" si="0">SUBTOTAL(109,L2:L58)</f>
        <v>52716681.17900002</v>
      </c>
      <c r="M59" s="1">
        <f t="shared" si="0"/>
        <v>41988607.582200006</v>
      </c>
      <c r="P59" s="1">
        <f>SUBTOTAL(109,Table1[TT.Bán])</f>
        <v>49525319.970000021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2026-02-16T03:28:33Z</dcterms:created>
  <dcterms:modified xsi:type="dcterms:W3CDTF">2026-02-16T03:32:49Z</dcterms:modified>
</cp:coreProperties>
</file>